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9" i="1"/>
  <c r="C7" i="1"/>
  <c r="D7" i="1"/>
  <c r="E7" i="1"/>
  <c r="F7" i="1"/>
  <c r="B7" i="1"/>
  <c r="K2" i="1"/>
  <c r="J2" i="1"/>
  <c r="E3" i="1"/>
  <c r="F3" i="1" s="1"/>
  <c r="E4" i="1"/>
  <c r="F4" i="1" s="1"/>
  <c r="E5" i="1"/>
  <c r="F5" i="1" s="1"/>
  <c r="E6" i="1"/>
  <c r="F6" i="1"/>
  <c r="E2" i="1"/>
  <c r="F2" i="1"/>
  <c r="D2" i="1"/>
  <c r="D6" i="1"/>
  <c r="D5" i="1"/>
  <c r="D4" i="1"/>
  <c r="D3" i="1"/>
</calcChain>
</file>

<file path=xl/sharedStrings.xml><?xml version="1.0" encoding="utf-8"?>
<sst xmlns="http://schemas.openxmlformats.org/spreadsheetml/2006/main" count="27" uniqueCount="27">
  <si>
    <t>ФИО сотрудника</t>
  </si>
  <si>
    <t>Оклад (руб.)</t>
  </si>
  <si>
    <t>Премия (%)</t>
  </si>
  <si>
    <t>Премия (руб.)</t>
  </si>
  <si>
    <t>НДФЛ (13%)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</si>
  <si>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</si>
  <si>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</si>
  <si>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</si>
  <si>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</si>
  <si>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</si>
  <si>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</si>
  <si>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</si>
  <si>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</si>
  <si>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</si>
  <si>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К выдоче</t>
  </si>
  <si>
    <t>Ставка НДФЛ</t>
  </si>
  <si>
    <t>Коэффициент: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</si>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</sst>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₽&quot;;[Red]\-#,##0.00\ &quot;₽&quot;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8" fontId="1" fillId="0" borderId="1" xfId="0" applyNumberFormat="1" applyFont="1" applyBorder="1" applyAlignment="1">
      <alignment vertical="center" wrapText="1"/>
    </xf>
    <xf numFmtId="0" fontId="0" fillId="0" borderId="0" xfId="0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8" fontId="0" fillId="0" borderId="1" xfId="0" applyNumberFormat="1" applyBorder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B16" sqref="B16"/>
    </sheetView>
  </sheetViews>
  <sheetFormatPr defaultRowHeight="14.4" x14ac:dyDescent="0.3"/>
  <cols>
    <col min="2" max="2" width="9.5546875" customWidth="1"/>
    <col min="6" max="6" width="11.33203125" bestFit="1" customWidth="1"/>
    <col min="10" max="11" width="10.33203125" bestFit="1" customWidth="1"/>
  </cols>
  <sheetData>
    <row r="1" spans="1:11" ht="30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14</v>
      </c>
      <c r="H1" s="9" t="s">
        <v>15</v>
      </c>
      <c r="I1" s="2" t="s">
        <v>16</v>
      </c>
      <c r="J1" s="1"/>
      <c r="K1" s="1"/>
    </row>
    <row r="2" spans="1:11" ht="20.399999999999999" x14ac:dyDescent="0.3">
      <c r="A2" s="2" t="s">
        <v>5</v>
      </c>
      <c r="B2" s="4">
        <v>50000</v>
      </c>
      <c r="C2" s="2">
        <v>20</v>
      </c>
      <c r="D2" s="4">
        <f>B2*C2/100</f>
        <v>10000</v>
      </c>
      <c r="E2" s="4">
        <f>(B2+D2)*$H$2</f>
        <v>9000</v>
      </c>
      <c r="F2" s="8">
        <f>B2+D2-E2</f>
        <v>51000</v>
      </c>
      <c r="H2" s="1">
        <v>0.15</v>
      </c>
      <c r="I2" s="1">
        <v>1.5</v>
      </c>
      <c r="J2" s="8">
        <f>B2*I$2</f>
        <v>75000</v>
      </c>
      <c r="K2" s="8">
        <f>B2*I$2</f>
        <v>75000</v>
      </c>
    </row>
    <row r="3" spans="1:11" ht="20.399999999999999" x14ac:dyDescent="0.3">
      <c r="A3" s="2" t="s">
        <v>6</v>
      </c>
      <c r="B3" s="4">
        <v>45000</v>
      </c>
      <c r="C3" s="2">
        <v>15</v>
      </c>
      <c r="D3" s="4">
        <f>B3*C3/100</f>
        <v>6750</v>
      </c>
      <c r="E3" s="4">
        <f t="shared" ref="E3:E7" si="0">(B3+D3)*$H$2</f>
        <v>7762.5</v>
      </c>
      <c r="F3" s="8">
        <f t="shared" ref="F3:F7" si="1">B3+D3-E3</f>
        <v>43987.5</v>
      </c>
      <c r="H3" s="1"/>
      <c r="I3" s="1"/>
      <c r="J3" s="1"/>
      <c r="K3" s="1"/>
    </row>
    <row r="4" spans="1:11" ht="20.399999999999999" x14ac:dyDescent="0.3">
      <c r="A4" s="2" t="s">
        <v>7</v>
      </c>
      <c r="B4" s="4">
        <v>62000</v>
      </c>
      <c r="C4" s="2">
        <v>25</v>
      </c>
      <c r="D4" s="4">
        <f>B4*C4/100</f>
        <v>15500</v>
      </c>
      <c r="E4" s="4">
        <f t="shared" si="0"/>
        <v>11625</v>
      </c>
      <c r="F4" s="8">
        <f t="shared" si="1"/>
        <v>65875</v>
      </c>
      <c r="H4" s="1"/>
      <c r="I4" s="1"/>
      <c r="J4" s="1"/>
      <c r="K4" s="1"/>
    </row>
    <row r="5" spans="1:11" ht="20.399999999999999" x14ac:dyDescent="0.3">
      <c r="A5" s="2" t="s">
        <v>8</v>
      </c>
      <c r="B5" s="4">
        <v>55000</v>
      </c>
      <c r="C5" s="2">
        <v>10</v>
      </c>
      <c r="D5" s="4">
        <f>B5*C5/100</f>
        <v>5500</v>
      </c>
      <c r="E5" s="4">
        <f t="shared" si="0"/>
        <v>9075</v>
      </c>
      <c r="F5" s="8">
        <f t="shared" si="1"/>
        <v>51425</v>
      </c>
      <c r="H5" s="1"/>
      <c r="I5" s="1"/>
      <c r="J5" s="1"/>
      <c r="K5" s="1"/>
    </row>
    <row r="6" spans="1:11" ht="20.399999999999999" x14ac:dyDescent="0.3">
      <c r="A6" s="2" t="s">
        <v>9</v>
      </c>
      <c r="B6" s="4">
        <v>40000</v>
      </c>
      <c r="C6" s="2">
        <v>30</v>
      </c>
      <c r="D6" s="4">
        <f>B6*C6/100</f>
        <v>12000</v>
      </c>
      <c r="E6" s="4">
        <f t="shared" si="0"/>
        <v>7800</v>
      </c>
      <c r="F6" s="8">
        <f t="shared" si="1"/>
        <v>44200</v>
      </c>
      <c r="H6" s="1"/>
      <c r="I6" s="1"/>
      <c r="J6" s="1"/>
      <c r="K6" s="1"/>
    </row>
    <row r="7" spans="1:11" x14ac:dyDescent="0.3">
      <c r="A7" s="2" t="s">
        <v>10</v>
      </c>
      <c r="B7" s="4">
        <f>SUM(B2:B6)</f>
        <v>252000</v>
      </c>
      <c r="C7" s="4">
        <f t="shared" ref="C7:F7" si="2">SUM(C2:C6)</f>
        <v>100</v>
      </c>
      <c r="D7" s="4">
        <f t="shared" si="2"/>
        <v>49750</v>
      </c>
      <c r="E7" s="4">
        <f t="shared" si="2"/>
        <v>45262.5</v>
      </c>
      <c r="F7" s="4">
        <f t="shared" si="2"/>
        <v>256487.5</v>
      </c>
      <c r="H7" s="1"/>
      <c r="I7" s="1"/>
      <c r="J7" s="1"/>
      <c r="K7" s="1"/>
    </row>
    <row r="8" spans="1:11" x14ac:dyDescent="0.3">
      <c r="A8" s="3"/>
      <c r="B8" s="3"/>
      <c r="C8" s="3"/>
      <c r="D8" s="3"/>
      <c r="E8" s="3"/>
      <c r="F8" s="1"/>
    </row>
    <row r="9" spans="1:11" ht="20.399999999999999" x14ac:dyDescent="0.3">
      <c r="A9" s="2" t="s">
        <v>11</v>
      </c>
      <c r="B9" s="4">
        <f>AVERAGE(F2:F6)</f>
        <v>51297.5</v>
      </c>
      <c r="C9" s="6"/>
      <c r="D9" s="3"/>
      <c r="E9" s="3"/>
      <c r="F9" s="1"/>
    </row>
    <row r="10" spans="1:11" x14ac:dyDescent="0.3">
      <c r="A10" s="2" t="s">
        <v>12</v>
      </c>
      <c r="B10" s="4">
        <f>MAX(F2:F6)</f>
        <v>65875</v>
      </c>
      <c r="C10" s="6"/>
      <c r="D10" s="3"/>
      <c r="E10" s="3"/>
      <c r="F10" s="1"/>
    </row>
    <row r="11" spans="1:11" x14ac:dyDescent="0.3">
      <c r="A11" s="2" t="s">
        <v>13</v>
      </c>
      <c r="B11" s="4">
        <f>MIN(F2:F6)</f>
        <v>43987.5</v>
      </c>
      <c r="C11" s="6"/>
      <c r="D11" s="1"/>
      <c r="E11" s="1"/>
      <c r="F11" s="1"/>
    </row>
    <row r="13" spans="1:11" x14ac:dyDescent="0.3">
      <c r="A13" s="5"/>
      <c r="B13" s="5"/>
      <c r="C13" s="5"/>
      <c r="D13" s="5"/>
      <c r="E13" s="5"/>
      <c r="F13" s="5"/>
      <c r="G13" s="5"/>
    </row>
    <row r="14" spans="1:11" x14ac:dyDescent="0.3">
      <c r="A14" s="5"/>
      <c r="B14" s="5"/>
      <c r="C14" s="5"/>
      <c r="D14" s="5"/>
      <c r="E14" s="5"/>
      <c r="F14" s="5"/>
      <c r="G14" s="5"/>
    </row>
    <row r="15" spans="1:11" ht="28.8" x14ac:dyDescent="0.3">
      <c r="A15" s="1" t="s">
        <v>17</v>
      </c>
      <c r="B15" s="10" t="s">
        <v>18</v>
      </c>
      <c r="C15" s="1" t="s">
        <v>19</v>
      </c>
      <c r="D15" s="1" t="s">
        <v>20</v>
      </c>
      <c r="E15" s="11" t="s">
        <v>21</v>
      </c>
      <c r="F15" s="11" t="s">
        <v>22</v>
      </c>
      <c r="G15" s="5"/>
    </row>
    <row r="16" spans="1:11" x14ac:dyDescent="0.3">
      <c r="A16" s="1" t="s">
        <v>23</v>
      </c>
      <c r="B16" s="1"/>
      <c r="C16" s="1"/>
      <c r="D16" s="1"/>
      <c r="E16" s="1"/>
      <c r="F16" s="1"/>
    </row>
    <row r="17" spans="1:6" x14ac:dyDescent="0.3">
      <c r="A17" s="1" t="s">
        <v>24</v>
      </c>
      <c r="B17" s="1"/>
      <c r="C17" s="1"/>
      <c r="D17" s="1"/>
      <c r="E17" s="1"/>
      <c r="F17" s="1"/>
    </row>
    <row r="18" spans="1:6" ht="28.8" x14ac:dyDescent="0.3">
      <c r="A18" s="11" t="s">
        <v>25</v>
      </c>
      <c r="B18" s="1"/>
      <c r="C18" s="1"/>
      <c r="D18" s="1"/>
      <c r="E18" s="1"/>
      <c r="F18" s="1"/>
    </row>
    <row r="19" spans="1:6" x14ac:dyDescent="0.3">
      <c r="A19" s="1" t="s">
        <v>26</v>
      </c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2026-09-16T12:06:03Z</dcterms:modified>
</cp:coreProperties>
</file>